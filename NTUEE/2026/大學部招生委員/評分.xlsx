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n\Documents\Farn-Wang-WWW\NTUEE\2026\大學部招生委員\"/>
    </mc:Choice>
  </mc:AlternateContent>
  <xr:revisionPtr revIDLastSave="0" documentId="13_ncr:1_{4961A2CF-22C9-4F30-90F7-C8FD3DE92FF2}" xr6:coauthVersionLast="47" xr6:coauthVersionMax="47" xr10:uidLastSave="{00000000-0000-0000-0000-000000000000}"/>
  <bookViews>
    <workbookView xWindow="-110" yWindow="-110" windowWidth="19420" windowHeight="10300" xr2:uid="{AF1C1E7B-3155-4E48-9206-E38C166DD1D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E33" i="1"/>
  <c r="E31" i="1"/>
  <c r="E29" i="1"/>
  <c r="E24" i="1"/>
  <c r="E21" i="1"/>
  <c r="E11" i="1"/>
  <c r="E35" i="1"/>
  <c r="E38" i="1"/>
  <c r="E22" i="1"/>
  <c r="E37" i="1"/>
  <c r="E45" i="1"/>
  <c r="E44" i="1"/>
  <c r="F43" i="1"/>
  <c r="E43" i="1" s="1"/>
  <c r="F42" i="1"/>
  <c r="E42" i="1" s="1"/>
  <c r="F41" i="1"/>
  <c r="E41" i="1" s="1"/>
  <c r="F40" i="1"/>
  <c r="E40" i="1" s="1"/>
  <c r="F39" i="1"/>
  <c r="E39" i="1" s="1"/>
  <c r="F38" i="1"/>
  <c r="F37" i="1"/>
  <c r="F36" i="1"/>
  <c r="E36" i="1" s="1"/>
  <c r="F35" i="1"/>
  <c r="F34" i="1"/>
  <c r="E34" i="1" s="1"/>
  <c r="F33" i="1"/>
  <c r="F32" i="1"/>
  <c r="E32" i="1" s="1"/>
  <c r="F31" i="1"/>
  <c r="F30" i="1"/>
  <c r="E30" i="1" s="1"/>
  <c r="F29" i="1"/>
  <c r="F28" i="1"/>
  <c r="E28" i="1" s="1"/>
  <c r="F27" i="1"/>
  <c r="E27" i="1" s="1"/>
  <c r="F26" i="1"/>
  <c r="E26" i="1" s="1"/>
  <c r="F25" i="1"/>
  <c r="E25" i="1" s="1"/>
  <c r="F24" i="1"/>
  <c r="F23" i="1"/>
  <c r="E23" i="1" s="1"/>
  <c r="F22" i="1"/>
  <c r="F21" i="1"/>
  <c r="F20" i="1"/>
  <c r="E20" i="1" s="1"/>
  <c r="F19" i="1"/>
  <c r="E19" i="1" s="1"/>
  <c r="F18" i="1"/>
  <c r="E18" i="1" s="1"/>
  <c r="F17" i="1"/>
  <c r="E17" i="1" s="1"/>
  <c r="F16" i="1"/>
  <c r="E16" i="1" s="1"/>
  <c r="F15" i="1"/>
  <c r="E15" i="1" s="1"/>
  <c r="F14" i="1"/>
  <c r="E14" i="1" s="1"/>
  <c r="F13" i="1"/>
  <c r="E13" i="1" s="1"/>
  <c r="F12" i="1"/>
  <c r="E12" i="1" s="1"/>
  <c r="F11" i="1"/>
  <c r="F10" i="1"/>
  <c r="E10" i="1" s="1"/>
  <c r="F9" i="1"/>
  <c r="E9" i="1" s="1"/>
  <c r="F8" i="1"/>
  <c r="E8" i="1" s="1"/>
  <c r="F7" i="1"/>
  <c r="E7" i="1" s="1"/>
  <c r="F6" i="1"/>
  <c r="E6" i="1" s="1"/>
  <c r="F5" i="1"/>
  <c r="F4" i="1"/>
  <c r="E4" i="1" s="1"/>
  <c r="F3" i="1"/>
  <c r="E3" i="1" s="1"/>
  <c r="F2" i="1"/>
  <c r="E2" i="1" s="1"/>
</calcChain>
</file>

<file path=xl/sharedStrings.xml><?xml version="1.0" encoding="utf-8"?>
<sst xmlns="http://schemas.openxmlformats.org/spreadsheetml/2006/main" count="182" uniqueCount="132">
  <si>
    <t>A012</t>
  </si>
  <si>
    <t>高毓謙</t>
  </si>
  <si>
    <t xml:space="preserve">私立延平高中                  </t>
  </si>
  <si>
    <t>A016</t>
  </si>
  <si>
    <t>楊秉育</t>
  </si>
  <si>
    <t xml:space="preserve">私立明道高中                  </t>
  </si>
  <si>
    <t>A021</t>
  </si>
  <si>
    <t>張鈞瑋</t>
  </si>
  <si>
    <t xml:space="preserve">私立東山高中                  </t>
  </si>
  <si>
    <t>A025</t>
  </si>
  <si>
    <t>周友闐</t>
  </si>
  <si>
    <t xml:space="preserve">私立復興實驗高中              </t>
  </si>
  <si>
    <t>A034</t>
  </si>
  <si>
    <t>黃楷鈞</t>
  </si>
  <si>
    <t xml:space="preserve">私立衛道高中                  </t>
  </si>
  <si>
    <t>A037</t>
  </si>
  <si>
    <t>徐敏恆</t>
  </si>
  <si>
    <t xml:space="preserve">私立薇閣高中                  </t>
  </si>
  <si>
    <t>A039</t>
  </si>
  <si>
    <t>徐振允</t>
  </si>
  <si>
    <t>A041</t>
  </si>
  <si>
    <t>蘇宥宇</t>
  </si>
  <si>
    <t>A048</t>
  </si>
  <si>
    <t>曾開宇</t>
  </si>
  <si>
    <t xml:space="preserve">桃園市立武陵高中              </t>
  </si>
  <si>
    <t>A051</t>
  </si>
  <si>
    <t>王文呈</t>
  </si>
  <si>
    <t>A056</t>
  </si>
  <si>
    <t>陳宥辰</t>
  </si>
  <si>
    <t xml:space="preserve">高雄市立高雄高中              </t>
  </si>
  <si>
    <t>A069</t>
  </si>
  <si>
    <t>許益滄</t>
  </si>
  <si>
    <t xml:space="preserve">國立金門高中                  </t>
  </si>
  <si>
    <t>A072</t>
  </si>
  <si>
    <t>謝宗誼</t>
  </si>
  <si>
    <t xml:space="preserve">國立新竹科學園區實驗高中      </t>
  </si>
  <si>
    <t>A074</t>
  </si>
  <si>
    <t>詹詠善</t>
  </si>
  <si>
    <t>A078</t>
  </si>
  <si>
    <t>林嘉洛</t>
  </si>
  <si>
    <t>A083</t>
  </si>
  <si>
    <t>楊淯崴</t>
  </si>
  <si>
    <t>A100</t>
  </si>
  <si>
    <t>林柏佑</t>
  </si>
  <si>
    <t xml:space="preserve">國立嘉義高中                  </t>
  </si>
  <si>
    <t>A101</t>
  </si>
  <si>
    <t>徐梓恩</t>
  </si>
  <si>
    <t>A102</t>
  </si>
  <si>
    <t>葉政侑</t>
  </si>
  <si>
    <t xml:space="preserve">國立彰化高中                  </t>
  </si>
  <si>
    <t>A106</t>
  </si>
  <si>
    <t>陳柏佑</t>
  </si>
  <si>
    <t xml:space="preserve">國立臺南一中                  </t>
  </si>
  <si>
    <t>A109</t>
  </si>
  <si>
    <t>薛翔真</t>
  </si>
  <si>
    <t>A113</t>
  </si>
  <si>
    <t>洪楷泰</t>
  </si>
  <si>
    <t>A114</t>
  </si>
  <si>
    <t>李宇紘</t>
  </si>
  <si>
    <t xml:space="preserve">國立臺灣師大附中              </t>
  </si>
  <si>
    <t>A117</t>
  </si>
  <si>
    <t>吳東澧</t>
  </si>
  <si>
    <t>A124</t>
  </si>
  <si>
    <t>簡睿均</t>
  </si>
  <si>
    <t>A127</t>
  </si>
  <si>
    <t>陳奕丞</t>
  </si>
  <si>
    <t xml:space="preserve">國立羅東高中                  </t>
  </si>
  <si>
    <t>A129</t>
  </si>
  <si>
    <t>陳楚瀚</t>
  </si>
  <si>
    <t xml:space="preserve">臺中市立臺中一中              </t>
  </si>
  <si>
    <t>A134</t>
  </si>
  <si>
    <t>賴秉澤</t>
  </si>
  <si>
    <t>A143</t>
  </si>
  <si>
    <t>葉竣瑋</t>
  </si>
  <si>
    <t>A153</t>
  </si>
  <si>
    <t>陳紹邦</t>
  </si>
  <si>
    <t>A158</t>
  </si>
  <si>
    <t>陳威愷</t>
  </si>
  <si>
    <t>A160</t>
  </si>
  <si>
    <t>葉倧馻</t>
  </si>
  <si>
    <t>A165</t>
  </si>
  <si>
    <t>吳柏言</t>
  </si>
  <si>
    <t xml:space="preserve">臺北市立成功高中              </t>
  </si>
  <si>
    <t>A182</t>
  </si>
  <si>
    <t>黃靖崴</t>
  </si>
  <si>
    <t xml:space="preserve">臺北市立建國高中              </t>
  </si>
  <si>
    <t>A184</t>
  </si>
  <si>
    <t>林祐守</t>
  </si>
  <si>
    <t>A187</t>
  </si>
  <si>
    <t>王喻仟</t>
  </si>
  <si>
    <t>A191</t>
  </si>
  <si>
    <t>邱睦驊</t>
  </si>
  <si>
    <t>A195</t>
  </si>
  <si>
    <t>陳宣叡</t>
  </si>
  <si>
    <t>A204</t>
  </si>
  <si>
    <t>王國彥</t>
  </si>
  <si>
    <t>A207</t>
  </si>
  <si>
    <t>廖宥翔</t>
  </si>
  <si>
    <t>A209</t>
  </si>
  <si>
    <t>葛詠堯</t>
  </si>
  <si>
    <t>A211</t>
  </si>
  <si>
    <t>戴嘉宏</t>
  </si>
  <si>
    <t>審查號</t>
    <phoneticPr fontId="2" type="noConversion"/>
  </si>
  <si>
    <t>准考證</t>
    <phoneticPr fontId="2" type="noConversion"/>
  </si>
  <si>
    <t>姓名</t>
    <phoneticPr fontId="2" type="noConversion"/>
  </si>
  <si>
    <t>高中</t>
    <phoneticPr fontId="2" type="noConversion"/>
  </si>
  <si>
    <t>總分</t>
    <phoneticPr fontId="2" type="noConversion"/>
  </si>
  <si>
    <t>校分</t>
    <phoneticPr fontId="2" type="noConversion"/>
  </si>
  <si>
    <t>3.84</t>
    <phoneticPr fontId="2" type="noConversion"/>
  </si>
  <si>
    <t>3.8</t>
    <phoneticPr fontId="2" type="noConversion"/>
  </si>
  <si>
    <t>3.67</t>
    <phoneticPr fontId="2" type="noConversion"/>
  </si>
  <si>
    <t>4.0</t>
    <phoneticPr fontId="2" type="noConversion"/>
  </si>
  <si>
    <t>2.01</t>
    <phoneticPr fontId="2" type="noConversion"/>
  </si>
  <si>
    <t>3.68</t>
    <phoneticPr fontId="2" type="noConversion"/>
  </si>
  <si>
    <t>3.89</t>
    <phoneticPr fontId="2" type="noConversion"/>
  </si>
  <si>
    <t>3.72</t>
    <phoneticPr fontId="2" type="noConversion"/>
  </si>
  <si>
    <t>4.04</t>
    <phoneticPr fontId="2" type="noConversion"/>
  </si>
  <si>
    <t>3.38</t>
    <phoneticPr fontId="2" type="noConversion"/>
  </si>
  <si>
    <t>3.65</t>
    <phoneticPr fontId="2" type="noConversion"/>
  </si>
  <si>
    <t>3.76</t>
    <phoneticPr fontId="2" type="noConversion"/>
  </si>
  <si>
    <t>3.91</t>
    <phoneticPr fontId="2" type="noConversion"/>
  </si>
  <si>
    <t>2.17</t>
    <phoneticPr fontId="2" type="noConversion"/>
  </si>
  <si>
    <t>3.57</t>
    <phoneticPr fontId="2" type="noConversion"/>
  </si>
  <si>
    <t>5</t>
    <phoneticPr fontId="2" type="noConversion"/>
  </si>
  <si>
    <t>資優班</t>
    <phoneticPr fontId="2" type="noConversion"/>
  </si>
  <si>
    <t>前五學期平均</t>
    <phoneticPr fontId="2" type="noConversion"/>
  </si>
  <si>
    <t>數A1%</t>
    <phoneticPr fontId="2" type="noConversion"/>
  </si>
  <si>
    <t>數A2%</t>
    <phoneticPr fontId="2" type="noConversion"/>
  </si>
  <si>
    <t>高三上%</t>
    <phoneticPr fontId="2" type="noConversion"/>
  </si>
  <si>
    <t>英文三上%</t>
    <phoneticPr fontId="2" type="noConversion"/>
  </si>
  <si>
    <t>特殊事蹟</t>
    <phoneticPr fontId="2" type="noConversion"/>
  </si>
  <si>
    <t>調整分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</si>
</sst>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);[Red]\(0.000\)"/>
  </numFmts>
  <fonts count="7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10"/>
      <color theme="5" tint="-0.249977111117893"/>
      <name val="新細明體"/>
      <family val="1"/>
      <charset val="136"/>
    </font>
    <font>
      <sz val="12"/>
      <color theme="5" tint="-0.249977111117893"/>
      <name val="新細明體"/>
      <family val="1"/>
      <charset val="136"/>
      <scheme val="minor"/>
    </font>
    <font>
      <sz val="10"/>
      <color theme="5" tint="-0.249977111117893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176" fontId="0" fillId="0" borderId="0" xfId="0" applyNumberFormat="1">
      <alignment vertical="center"/>
    </xf>
    <xf numFmtId="177" fontId="1" fillId="0" borderId="1" xfId="0" applyNumberFormat="1" applyFont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  <xf numFmtId="177" fontId="3" fillId="0" borderId="1" xfId="0" applyNumberFormat="1" applyFont="1" applyBorder="1" applyAlignment="1">
      <alignment horizontal="center" vertical="center" wrapText="1"/>
    </xf>
    <xf numFmtId="176" fontId="1" fillId="0" borderId="0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176" fontId="4" fillId="0" borderId="0" xfId="0" applyNumberFormat="1" applyFont="1" applyBorder="1" applyAlignment="1">
      <alignment horizontal="left" vertical="center" wrapText="1"/>
    </xf>
    <xf numFmtId="176" fontId="5" fillId="0" borderId="0" xfId="0" applyNumberFormat="1" applyFont="1">
      <alignment vertical="center"/>
    </xf>
    <xf numFmtId="177" fontId="4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177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177" fontId="6" fillId="2" borderId="1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D414-DB8C-4E29-A096-2C9815686A50}">
  <dimension ref="A1:N45"/>
  <sheetViews>
    <sheetView tabSelected="1" topLeftCell="A28" workbookViewId="0">
      <selection activeCell="A40" sqref="A39:XFD40"/>
    </sheetView>
  </sheetViews>
  <sheetFormatPr defaultRowHeight="17" x14ac:dyDescent="0.4"/>
  <cols>
    <col min="4" max="4" width="16.7265625" customWidth="1"/>
    <col min="5" max="5" width="8.81640625" customWidth="1"/>
    <col min="6" max="6" width="12.7265625" customWidth="1"/>
    <col min="9" max="9" width="14.36328125" customWidth="1"/>
    <col min="13" max="13" width="11.90625" customWidth="1"/>
    <col min="14" max="14" width="12.81640625" customWidth="1"/>
  </cols>
  <sheetData>
    <row r="1" spans="1:14" x14ac:dyDescent="0.4">
      <c r="A1" t="s">
        <v>102</v>
      </c>
      <c r="B1" t="s">
        <v>103</v>
      </c>
      <c r="C1" t="s">
        <v>104</v>
      </c>
      <c r="D1" t="s">
        <v>105</v>
      </c>
      <c r="E1" t="s">
        <v>131</v>
      </c>
      <c r="F1" t="s">
        <v>106</v>
      </c>
      <c r="G1" t="s">
        <v>107</v>
      </c>
      <c r="H1" t="s">
        <v>124</v>
      </c>
      <c r="I1" t="s">
        <v>125</v>
      </c>
      <c r="J1" t="s">
        <v>128</v>
      </c>
      <c r="K1" t="s">
        <v>126</v>
      </c>
      <c r="L1" t="s">
        <v>127</v>
      </c>
      <c r="M1" t="s">
        <v>129</v>
      </c>
      <c r="N1" t="s">
        <v>130</v>
      </c>
    </row>
    <row r="2" spans="1:14" s="21" customFormat="1" x14ac:dyDescent="0.4">
      <c r="A2" s="22" t="s">
        <v>0</v>
      </c>
      <c r="B2" s="22">
        <v>11022808</v>
      </c>
      <c r="C2" s="23" t="s">
        <v>1</v>
      </c>
      <c r="D2" s="24" t="s">
        <v>2</v>
      </c>
      <c r="E2" s="16">
        <f>ROUNDUP(9*(F2-1829)/(2380-1829)+90, 0)</f>
        <v>92</v>
      </c>
      <c r="F2" s="17">
        <f>G2*(100-I2+20*H2+100-J2+100-K2+100-L2+100-M2+N2)</f>
        <v>1923.4559999999999</v>
      </c>
      <c r="G2" s="18" t="s">
        <v>108</v>
      </c>
      <c r="H2" s="25">
        <v>1</v>
      </c>
      <c r="I2" s="18">
        <v>14.5</v>
      </c>
      <c r="J2" s="20">
        <v>5.2</v>
      </c>
      <c r="K2" s="18">
        <v>17.8</v>
      </c>
      <c r="L2" s="20">
        <v>14.299999999999999</v>
      </c>
      <c r="M2" s="20">
        <v>7.3</v>
      </c>
      <c r="N2" s="20">
        <v>40</v>
      </c>
    </row>
    <row r="3" spans="1:14" x14ac:dyDescent="0.4">
      <c r="A3" s="4" t="s">
        <v>3</v>
      </c>
      <c r="B3" s="4">
        <v>11209428</v>
      </c>
      <c r="C3" s="5" t="s">
        <v>4</v>
      </c>
      <c r="D3" s="6" t="s">
        <v>5</v>
      </c>
      <c r="E3" s="12">
        <f>ROUNDUP(9*(F3-1514)/(1804-1514)+80, 0)</f>
        <v>83</v>
      </c>
      <c r="F3" s="7">
        <f>G3*(100-I3+20*H3+100-J3+100-K3+100-L3+100-M3+N3)</f>
        <v>1603.6</v>
      </c>
      <c r="G3" s="8" t="s">
        <v>109</v>
      </c>
      <c r="H3" s="11"/>
      <c r="I3" s="8">
        <v>20.9</v>
      </c>
      <c r="J3" s="10">
        <v>19.900000000000002</v>
      </c>
      <c r="K3" s="8">
        <v>26.5</v>
      </c>
      <c r="L3" s="10">
        <v>5.8000000000000007</v>
      </c>
      <c r="M3" s="10">
        <v>4.9000000000000004</v>
      </c>
      <c r="N3" s="10"/>
    </row>
    <row r="4" spans="1:14" s="21" customFormat="1" x14ac:dyDescent="0.4">
      <c r="A4" s="13" t="s">
        <v>6</v>
      </c>
      <c r="B4" s="13">
        <v>11053706</v>
      </c>
      <c r="C4" s="14" t="s">
        <v>7</v>
      </c>
      <c r="D4" s="15" t="s">
        <v>8</v>
      </c>
      <c r="E4" s="16">
        <f>ROUNDUP(9*(F4-1829)/(2380-1829)+90, 0)</f>
        <v>91</v>
      </c>
      <c r="F4" s="17">
        <f>G4*(100-I4+20*H4+100-J4+100-K4+100-L4+100-M4+N4)</f>
        <v>1852.6159999999998</v>
      </c>
      <c r="G4" s="18" t="s">
        <v>110</v>
      </c>
      <c r="H4" s="19">
        <v>1</v>
      </c>
      <c r="I4" s="18">
        <v>2.8</v>
      </c>
      <c r="J4" s="20">
        <v>1.5</v>
      </c>
      <c r="K4" s="18">
        <v>5.7</v>
      </c>
      <c r="L4" s="20">
        <v>5.0999999999999996</v>
      </c>
      <c r="M4" s="20">
        <v>5.0999999999999996</v>
      </c>
      <c r="N4" s="20">
        <v>5</v>
      </c>
    </row>
    <row r="5" spans="1:14" x14ac:dyDescent="0.4">
      <c r="A5" s="4" t="s">
        <v>9</v>
      </c>
      <c r="B5" s="4">
        <v>11036705</v>
      </c>
      <c r="C5" s="5" t="s">
        <v>10</v>
      </c>
      <c r="D5" s="6" t="s">
        <v>11</v>
      </c>
      <c r="E5" s="12">
        <f>ROUNDUP(9*(F5-781)/(1497-781)+70, 0)</f>
        <v>78</v>
      </c>
      <c r="F5" s="7">
        <f>G5*(100-I5+20*H5+100-J5+100-K5+100-L5+100-M5+N5)</f>
        <v>1417.1999999999998</v>
      </c>
      <c r="G5" s="8" t="s">
        <v>111</v>
      </c>
      <c r="H5" s="11"/>
      <c r="I5" s="8">
        <v>19.3</v>
      </c>
      <c r="J5" s="10">
        <v>26.700000000000003</v>
      </c>
      <c r="K5" s="8">
        <v>36.6</v>
      </c>
      <c r="L5" s="10">
        <v>17.5</v>
      </c>
      <c r="M5" s="10">
        <v>45.6</v>
      </c>
      <c r="N5" s="10"/>
    </row>
    <row r="6" spans="1:14" s="21" customFormat="1" x14ac:dyDescent="0.4">
      <c r="A6" s="22" t="s">
        <v>12</v>
      </c>
      <c r="B6" s="22">
        <v>11175316</v>
      </c>
      <c r="C6" s="23" t="s">
        <v>13</v>
      </c>
      <c r="D6" s="24" t="s">
        <v>14</v>
      </c>
      <c r="E6" s="16">
        <f>ROUNDUP(9*(F6-781)/(1497-781)+70, 0)</f>
        <v>72</v>
      </c>
      <c r="F6" s="17">
        <f>G6*(100-I6+20*H6+100-J6+100-K6+100-L6+100-M6+N6)</f>
        <v>932.43899999999985</v>
      </c>
      <c r="G6" s="18" t="s">
        <v>112</v>
      </c>
      <c r="H6" s="19"/>
      <c r="I6" s="18">
        <v>4.5</v>
      </c>
      <c r="J6" s="20">
        <v>6.5</v>
      </c>
      <c r="K6" s="18">
        <v>3.5999999999999996</v>
      </c>
      <c r="L6" s="20">
        <v>5.0999999999999996</v>
      </c>
      <c r="M6" s="20">
        <v>26.400000000000002</v>
      </c>
      <c r="N6" s="20">
        <v>10</v>
      </c>
    </row>
    <row r="7" spans="1:14" s="21" customFormat="1" x14ac:dyDescent="0.4">
      <c r="A7" s="13" t="s">
        <v>15</v>
      </c>
      <c r="B7" s="13">
        <v>11043909</v>
      </c>
      <c r="C7" s="14" t="s">
        <v>16</v>
      </c>
      <c r="D7" s="15" t="s">
        <v>17</v>
      </c>
      <c r="E7" s="16">
        <f>ROUNDUP(9*(F7-1829)/(2380-1829)+90, 0)</f>
        <v>92</v>
      </c>
      <c r="F7" s="17">
        <f>G7*(100-I7+20*H7+100-J7+100-K7+100-L7+100-M7+N7)</f>
        <v>1932.7360000000003</v>
      </c>
      <c r="G7" s="18" t="s">
        <v>113</v>
      </c>
      <c r="H7" s="19">
        <v>1</v>
      </c>
      <c r="I7" s="18">
        <v>0.9</v>
      </c>
      <c r="J7" s="20">
        <v>0.5</v>
      </c>
      <c r="K7" s="18">
        <v>5.4</v>
      </c>
      <c r="L7" s="20">
        <v>6.3</v>
      </c>
      <c r="M7" s="20">
        <v>1.7000000000000002</v>
      </c>
      <c r="N7" s="20">
        <v>20</v>
      </c>
    </row>
    <row r="8" spans="1:14" x14ac:dyDescent="0.4">
      <c r="A8" s="4" t="s">
        <v>18</v>
      </c>
      <c r="B8" s="4">
        <v>11044104</v>
      </c>
      <c r="C8" s="5" t="s">
        <v>19</v>
      </c>
      <c r="D8" s="6" t="s">
        <v>17</v>
      </c>
      <c r="E8" s="12">
        <f>ROUNDUP(9*(F8-781)/(1497-781)+70, 0)</f>
        <v>79</v>
      </c>
      <c r="F8" s="7">
        <f>G8*(100-I8+20*H8+100-J8+100-K8+100-L8+100-M8+N8)</f>
        <v>1485.248</v>
      </c>
      <c r="G8" s="8" t="s">
        <v>113</v>
      </c>
      <c r="H8" s="11">
        <v>1</v>
      </c>
      <c r="I8" s="8">
        <v>40.5</v>
      </c>
      <c r="J8" s="10">
        <v>28.799999999999997</v>
      </c>
      <c r="K8" s="8">
        <v>8.7999999999999989</v>
      </c>
      <c r="L8" s="10">
        <v>14.499999999999998</v>
      </c>
      <c r="M8" s="10">
        <v>23.799999999999997</v>
      </c>
      <c r="N8" s="10"/>
    </row>
    <row r="9" spans="1:14" s="21" customFormat="1" x14ac:dyDescent="0.4">
      <c r="A9" s="13" t="s">
        <v>20</v>
      </c>
      <c r="B9" s="13">
        <v>11044407</v>
      </c>
      <c r="C9" s="14" t="s">
        <v>21</v>
      </c>
      <c r="D9" s="15" t="s">
        <v>17</v>
      </c>
      <c r="E9" s="16">
        <f>ROUNDUP(9*(F9-1514)/(1804-1514)+80, 0)</f>
        <v>90</v>
      </c>
      <c r="F9" s="17">
        <f>G9*(100-I9+20*H9+100-J9+100-K9+100-L9+100-M9+N9)</f>
        <v>1805.4079999999999</v>
      </c>
      <c r="G9" s="18" t="s">
        <v>113</v>
      </c>
      <c r="H9" s="19">
        <v>1</v>
      </c>
      <c r="I9" s="18">
        <v>4.3</v>
      </c>
      <c r="J9" s="20">
        <v>9.3000000000000007</v>
      </c>
      <c r="K9" s="18">
        <v>8.7999999999999989</v>
      </c>
      <c r="L9" s="20">
        <v>10.8</v>
      </c>
      <c r="M9" s="20">
        <v>1.2</v>
      </c>
      <c r="N9" s="20">
        <v>5</v>
      </c>
    </row>
    <row r="10" spans="1:14" x14ac:dyDescent="0.4">
      <c r="A10" s="4" t="s">
        <v>22</v>
      </c>
      <c r="B10" s="4">
        <v>11115226</v>
      </c>
      <c r="C10" s="5" t="s">
        <v>23</v>
      </c>
      <c r="D10" s="6" t="s">
        <v>24</v>
      </c>
      <c r="E10" s="12">
        <f>ROUNDUP(9*(F10-1829)/(2380-1829)+90, 0)</f>
        <v>91</v>
      </c>
      <c r="F10" s="7">
        <f>G10*(100-I10+20*H10+100-J10+100-K10+100-L10+100-M10+N10)</f>
        <v>1831.0229999999999</v>
      </c>
      <c r="G10" s="8" t="s">
        <v>114</v>
      </c>
      <c r="H10" s="11"/>
      <c r="I10" s="8">
        <v>8.1999999999999993</v>
      </c>
      <c r="J10" s="10">
        <v>11.799999999999999</v>
      </c>
      <c r="K10" s="8">
        <v>1.2</v>
      </c>
      <c r="L10" s="10">
        <v>1.6</v>
      </c>
      <c r="M10" s="10">
        <v>6.5</v>
      </c>
      <c r="N10" s="10"/>
    </row>
    <row r="11" spans="1:14" x14ac:dyDescent="0.4">
      <c r="A11" s="1" t="s">
        <v>25</v>
      </c>
      <c r="B11" s="1">
        <v>11118128</v>
      </c>
      <c r="C11" s="2" t="s">
        <v>26</v>
      </c>
      <c r="D11" s="3" t="s">
        <v>24</v>
      </c>
      <c r="E11" s="12">
        <f>ROUNDUP(9*(F11-1514)/(1804-1514)+80, 0)</f>
        <v>88</v>
      </c>
      <c r="F11" s="7">
        <f>G11*(100-I11+20*H11+100-J11+100-K11+100-L11+100-M11+N11)</f>
        <v>1744.665</v>
      </c>
      <c r="G11" s="8" t="s">
        <v>114</v>
      </c>
      <c r="H11" s="11"/>
      <c r="I11" s="8">
        <v>11.5</v>
      </c>
      <c r="J11" s="10">
        <v>11.799999999999999</v>
      </c>
      <c r="K11" s="8">
        <v>11</v>
      </c>
      <c r="L11" s="10">
        <v>5.2</v>
      </c>
      <c r="M11" s="10">
        <v>12</v>
      </c>
      <c r="N11" s="10"/>
    </row>
    <row r="12" spans="1:14" x14ac:dyDescent="0.4">
      <c r="A12" s="4" t="s">
        <v>27</v>
      </c>
      <c r="B12" s="4">
        <v>11297604</v>
      </c>
      <c r="C12" s="5" t="s">
        <v>28</v>
      </c>
      <c r="D12" s="6" t="s">
        <v>29</v>
      </c>
      <c r="E12" s="12">
        <f>ROUNDUP(9*(F12-781)/(1497-781)+70, 0)</f>
        <v>80</v>
      </c>
      <c r="F12" s="7">
        <f>G12*(100-I12+20*H12+100-J12+100-K12+100-L12+100-M12+N12)</f>
        <v>1497.2610000000002</v>
      </c>
      <c r="G12" s="8" t="s">
        <v>114</v>
      </c>
      <c r="H12" s="11"/>
      <c r="I12" s="8">
        <v>37.5</v>
      </c>
      <c r="J12" s="10">
        <v>28.000000000000004</v>
      </c>
      <c r="K12" s="8">
        <v>14.299999999999999</v>
      </c>
      <c r="L12" s="10">
        <v>2.9000000000000004</v>
      </c>
      <c r="M12" s="10">
        <v>32.4</v>
      </c>
      <c r="N12" s="10"/>
    </row>
    <row r="13" spans="1:14" x14ac:dyDescent="0.4">
      <c r="A13" s="4" t="s">
        <v>30</v>
      </c>
      <c r="B13" s="4">
        <v>11333835</v>
      </c>
      <c r="C13" s="5" t="s">
        <v>31</v>
      </c>
      <c r="D13" s="6" t="s">
        <v>32</v>
      </c>
      <c r="E13" s="12">
        <f>ROUNDUP(9*(F13-1514)/(1804-1514)+80, 0)</f>
        <v>89</v>
      </c>
      <c r="F13" s="7">
        <f>G13*(100-I13+20*H13+100-J13+100-K13+100-L13+100-M13+N13)</f>
        <v>1795.2720000000002</v>
      </c>
      <c r="G13" s="8" t="s">
        <v>115</v>
      </c>
      <c r="H13" s="11"/>
      <c r="I13" s="8">
        <v>1.6</v>
      </c>
      <c r="J13" s="10">
        <v>0.1</v>
      </c>
      <c r="K13" s="8">
        <v>7.0000000000000009</v>
      </c>
      <c r="L13" s="10">
        <v>7.8</v>
      </c>
      <c r="M13" s="10">
        <v>0.89999999999999991</v>
      </c>
      <c r="N13" s="10"/>
    </row>
    <row r="14" spans="1:14" s="21" customFormat="1" ht="27" x14ac:dyDescent="0.4">
      <c r="A14" s="13" t="s">
        <v>33</v>
      </c>
      <c r="B14" s="13">
        <v>11152708</v>
      </c>
      <c r="C14" s="14" t="s">
        <v>34</v>
      </c>
      <c r="D14" s="15" t="s">
        <v>35</v>
      </c>
      <c r="E14" s="16">
        <f>ROUNDUP(9*(F14-1514)/(1804-1514)+80, 0)</f>
        <v>83</v>
      </c>
      <c r="F14" s="17">
        <f>G14*(100-I14+20*H14+100-J14+100-K14+100-L14+100-M14+N14)</f>
        <v>1609.94</v>
      </c>
      <c r="G14" s="18" t="s">
        <v>116</v>
      </c>
      <c r="H14" s="19"/>
      <c r="I14" s="18">
        <v>21.1</v>
      </c>
      <c r="J14" s="20">
        <v>22.3</v>
      </c>
      <c r="K14" s="18">
        <v>36.799999999999997</v>
      </c>
      <c r="L14" s="20">
        <v>26.3</v>
      </c>
      <c r="M14" s="20">
        <v>0</v>
      </c>
      <c r="N14" s="20">
        <v>5</v>
      </c>
    </row>
    <row r="15" spans="1:14" ht="27" x14ac:dyDescent="0.4">
      <c r="A15" s="4" t="s">
        <v>36</v>
      </c>
      <c r="B15" s="4">
        <v>11152836</v>
      </c>
      <c r="C15" s="5" t="s">
        <v>37</v>
      </c>
      <c r="D15" s="6" t="s">
        <v>35</v>
      </c>
      <c r="E15" s="12">
        <f>ROUNDUP(9*(F15-1514)/(1804-1514)+80, 0)</f>
        <v>83</v>
      </c>
      <c r="F15" s="7">
        <f>G15*(100-I15+20*H15+100-J15+100-K15+100-L15+100-M15+N15)</f>
        <v>1597.82</v>
      </c>
      <c r="G15" s="8" t="s">
        <v>116</v>
      </c>
      <c r="H15" s="11">
        <v>1</v>
      </c>
      <c r="I15" s="8">
        <v>33.200000000000003</v>
      </c>
      <c r="J15" s="10">
        <v>21.3</v>
      </c>
      <c r="K15" s="8">
        <v>30</v>
      </c>
      <c r="L15" s="10">
        <v>53.300000000000004</v>
      </c>
      <c r="M15" s="10">
        <v>6.7</v>
      </c>
      <c r="N15" s="10">
        <v>20</v>
      </c>
    </row>
    <row r="16" spans="1:14" s="21" customFormat="1" ht="27" x14ac:dyDescent="0.4">
      <c r="A16" s="13" t="s">
        <v>38</v>
      </c>
      <c r="B16" s="13">
        <v>11152932</v>
      </c>
      <c r="C16" s="14" t="s">
        <v>39</v>
      </c>
      <c r="D16" s="15" t="s">
        <v>35</v>
      </c>
      <c r="E16" s="16">
        <f>ROUNDUP(9*(F16-781)/(1497-781)+70, 0)</f>
        <v>76</v>
      </c>
      <c r="F16" s="17">
        <f>G16*(100-I16+20*H16+100-J16+100-K16+100-L16+100-M16+N16)</f>
        <v>1183.316</v>
      </c>
      <c r="G16" s="18" t="s">
        <v>116</v>
      </c>
      <c r="H16" s="19">
        <v>1</v>
      </c>
      <c r="I16" s="18">
        <v>40.799999999999997</v>
      </c>
      <c r="J16" s="20">
        <v>43.6</v>
      </c>
      <c r="K16" s="18">
        <v>57.699999999999996</v>
      </c>
      <c r="L16" s="20">
        <v>30</v>
      </c>
      <c r="M16" s="20">
        <v>60</v>
      </c>
      <c r="N16" s="20">
        <v>5</v>
      </c>
    </row>
    <row r="17" spans="1:14" ht="27" x14ac:dyDescent="0.4">
      <c r="A17" s="4" t="s">
        <v>40</v>
      </c>
      <c r="B17" s="4">
        <v>11154606</v>
      </c>
      <c r="C17" s="5" t="s">
        <v>41</v>
      </c>
      <c r="D17" s="6" t="s">
        <v>35</v>
      </c>
      <c r="E17" s="12">
        <f>ROUNDUP(9*(F17-781)/(1497-781)+70, 0)</f>
        <v>77</v>
      </c>
      <c r="F17" s="7">
        <f>G17*(100-I17+20*H17+100-J17+100-K17+100-L17+100-M17+N17)</f>
        <v>1308.96</v>
      </c>
      <c r="G17" s="8" t="s">
        <v>116</v>
      </c>
      <c r="H17" s="11">
        <v>1</v>
      </c>
      <c r="I17" s="8">
        <v>41.6</v>
      </c>
      <c r="J17" s="10">
        <v>27.700000000000003</v>
      </c>
      <c r="K17" s="8">
        <v>36.700000000000003</v>
      </c>
      <c r="L17" s="10">
        <v>33.300000000000004</v>
      </c>
      <c r="M17" s="10">
        <v>56.699999999999996</v>
      </c>
      <c r="N17" s="10"/>
    </row>
    <row r="18" spans="1:14" s="21" customFormat="1" x14ac:dyDescent="0.4">
      <c r="A18" s="13" t="s">
        <v>42</v>
      </c>
      <c r="B18" s="13">
        <v>11249214</v>
      </c>
      <c r="C18" s="14" t="s">
        <v>43</v>
      </c>
      <c r="D18" s="15" t="s">
        <v>44</v>
      </c>
      <c r="E18" s="16">
        <f>ROUNDUP(9*(F18-1514)/(1804-1514)+80, 0)</f>
        <v>81</v>
      </c>
      <c r="F18" s="17">
        <f>G18*(100-I18+20*H18+100-J18+100-K18+100-L18+100-M18+N18)</f>
        <v>1543.646</v>
      </c>
      <c r="G18" s="18" t="s">
        <v>117</v>
      </c>
      <c r="H18" s="19">
        <v>1</v>
      </c>
      <c r="I18" s="18">
        <v>22.3</v>
      </c>
      <c r="J18" s="20">
        <v>22</v>
      </c>
      <c r="K18" s="18">
        <v>4</v>
      </c>
      <c r="L18" s="20">
        <v>0</v>
      </c>
      <c r="M18" s="20">
        <v>20</v>
      </c>
      <c r="N18" s="20">
        <v>5</v>
      </c>
    </row>
    <row r="19" spans="1:14" x14ac:dyDescent="0.4">
      <c r="A19" s="4" t="s">
        <v>45</v>
      </c>
      <c r="B19" s="4">
        <v>11249526</v>
      </c>
      <c r="C19" s="5" t="s">
        <v>46</v>
      </c>
      <c r="D19" s="6" t="s">
        <v>44</v>
      </c>
      <c r="E19" s="12">
        <f>ROUNDUP(9*(F19-781)/(1497-781)+70, 0)</f>
        <v>73</v>
      </c>
      <c r="F19" s="7">
        <f>G19*(100-I19+20*H19+100-J19+100-K19+100-L19+100-M19+N19)</f>
        <v>980.87599999999998</v>
      </c>
      <c r="G19" s="8" t="s">
        <v>117</v>
      </c>
      <c r="H19" s="11">
        <v>1</v>
      </c>
      <c r="I19" s="8">
        <v>33.5</v>
      </c>
      <c r="J19" s="10">
        <v>39</v>
      </c>
      <c r="K19" s="8">
        <v>40</v>
      </c>
      <c r="L19" s="10">
        <v>69</v>
      </c>
      <c r="M19" s="10">
        <v>48.3</v>
      </c>
      <c r="N19" s="10"/>
    </row>
    <row r="20" spans="1:14" x14ac:dyDescent="0.4">
      <c r="A20" s="4" t="s">
        <v>47</v>
      </c>
      <c r="B20" s="4">
        <v>11225614</v>
      </c>
      <c r="C20" s="5" t="s">
        <v>48</v>
      </c>
      <c r="D20" s="6" t="s">
        <v>49</v>
      </c>
      <c r="E20" s="12">
        <f>ROUNDUP(9*(F20-1514)/(1804-1514)+80, 0)</f>
        <v>89</v>
      </c>
      <c r="F20" s="7">
        <f>G20*(100-I20+20*H20+100-J20+100-K20+100-L20+100-M20+N20)</f>
        <v>1802.7350000000001</v>
      </c>
      <c r="G20" s="8" t="s">
        <v>118</v>
      </c>
      <c r="H20" s="11"/>
      <c r="I20" s="8">
        <v>0.8</v>
      </c>
      <c r="J20" s="10">
        <v>0.1</v>
      </c>
      <c r="K20" s="8">
        <v>1.7000000000000002</v>
      </c>
      <c r="L20" s="10">
        <v>0.89999999999999991</v>
      </c>
      <c r="M20" s="10">
        <v>2.6</v>
      </c>
      <c r="N20" s="10"/>
    </row>
    <row r="21" spans="1:14" x14ac:dyDescent="0.4">
      <c r="A21" s="1" t="s">
        <v>50</v>
      </c>
      <c r="B21" s="1">
        <v>11251901</v>
      </c>
      <c r="C21" s="2" t="s">
        <v>51</v>
      </c>
      <c r="D21" s="3" t="s">
        <v>52</v>
      </c>
      <c r="E21" s="12">
        <f>ROUNDUP(9*(F21-1514)/(1804-1514)+80, 0)</f>
        <v>87</v>
      </c>
      <c r="F21" s="7">
        <f>G21*(100-I21+20*H21+100-J21+100-K21+100-L21+100-M21+N21)</f>
        <v>1725.088</v>
      </c>
      <c r="G21" s="8" t="s">
        <v>119</v>
      </c>
      <c r="H21" s="11"/>
      <c r="I21" s="8">
        <v>9.1999999999999993</v>
      </c>
      <c r="J21" s="10">
        <v>4</v>
      </c>
      <c r="K21" s="8">
        <v>1.6</v>
      </c>
      <c r="L21" s="10">
        <v>8.6999999999999993</v>
      </c>
      <c r="M21" s="10">
        <v>17.7</v>
      </c>
      <c r="N21" s="10"/>
    </row>
    <row r="22" spans="1:14" x14ac:dyDescent="0.4">
      <c r="A22" s="1" t="s">
        <v>53</v>
      </c>
      <c r="B22" s="1">
        <v>11270017</v>
      </c>
      <c r="C22" s="2" t="s">
        <v>54</v>
      </c>
      <c r="D22" s="3" t="s">
        <v>52</v>
      </c>
      <c r="E22" s="12">
        <f>ROUNDUP(9*(F22-1829)/(2380-1829)+90, 0)</f>
        <v>91</v>
      </c>
      <c r="F22" s="7">
        <f>G22*(100-I22+20*H22+100-J22+100-K22+100-L22+100-M22+N22)</f>
        <v>1839.768</v>
      </c>
      <c r="G22" s="8" t="s">
        <v>119</v>
      </c>
      <c r="H22" s="11"/>
      <c r="I22" s="8">
        <v>1.7</v>
      </c>
      <c r="J22" s="10">
        <v>1.2</v>
      </c>
      <c r="K22" s="8">
        <v>0.2</v>
      </c>
      <c r="L22" s="10">
        <v>0.8</v>
      </c>
      <c r="M22" s="10">
        <v>6.8000000000000007</v>
      </c>
      <c r="N22" s="10"/>
    </row>
    <row r="23" spans="1:14" x14ac:dyDescent="0.4">
      <c r="A23" s="1" t="s">
        <v>55</v>
      </c>
      <c r="B23" s="1">
        <v>11271905</v>
      </c>
      <c r="C23" s="2" t="s">
        <v>56</v>
      </c>
      <c r="D23" s="3" t="s">
        <v>52</v>
      </c>
      <c r="E23" s="12">
        <f>ROUNDUP(9*(F23-781)/(1497-781)+70, 0)</f>
        <v>71</v>
      </c>
      <c r="F23" s="7">
        <f>G23*(100-I23+20*H23+100-J23+100-K23+100-L23+100-M23+N23)</f>
        <v>853.89600000000007</v>
      </c>
      <c r="G23" s="8" t="s">
        <v>119</v>
      </c>
      <c r="H23" s="11"/>
      <c r="I23" s="8">
        <v>60.1</v>
      </c>
      <c r="J23" s="10">
        <v>81.899999999999991</v>
      </c>
      <c r="K23" s="8">
        <v>23.5</v>
      </c>
      <c r="L23" s="10">
        <v>32.4</v>
      </c>
      <c r="M23" s="10">
        <v>75</v>
      </c>
      <c r="N23" s="10"/>
    </row>
    <row r="24" spans="1:14" x14ac:dyDescent="0.4">
      <c r="A24" s="4" t="s">
        <v>57</v>
      </c>
      <c r="B24" s="4">
        <v>11016533</v>
      </c>
      <c r="C24" s="5" t="s">
        <v>58</v>
      </c>
      <c r="D24" s="6" t="s">
        <v>59</v>
      </c>
      <c r="E24" s="12">
        <f>ROUNDUP(9*(F24-1514)/(1804-1514)+80, 0)</f>
        <v>85</v>
      </c>
      <c r="F24" s="7">
        <f>G24*(100-I24+20*H24+100-J24+100-K24+100-L24+100-M24+N24)</f>
        <v>1668.788</v>
      </c>
      <c r="G24" s="8" t="s">
        <v>120</v>
      </c>
      <c r="H24" s="11">
        <v>1</v>
      </c>
      <c r="I24" s="8">
        <v>7.4</v>
      </c>
      <c r="J24" s="10">
        <v>8.4</v>
      </c>
      <c r="K24" s="8">
        <v>38.700000000000003</v>
      </c>
      <c r="L24" s="10">
        <v>28.999999999999996</v>
      </c>
      <c r="M24" s="10">
        <v>9.7000000000000011</v>
      </c>
      <c r="N24" s="10"/>
    </row>
    <row r="25" spans="1:14" s="21" customFormat="1" x14ac:dyDescent="0.4">
      <c r="A25" s="22" t="s">
        <v>60</v>
      </c>
      <c r="B25" s="22">
        <v>11019908</v>
      </c>
      <c r="C25" s="23" t="s">
        <v>61</v>
      </c>
      <c r="D25" s="24" t="s">
        <v>59</v>
      </c>
      <c r="E25" s="16">
        <f>ROUNDUP(9*(F25-1829)/(2380-1829)+90, 0)</f>
        <v>91</v>
      </c>
      <c r="F25" s="17">
        <f>G25*(100-I25+20*H25+100-J25+100-K25+100-L25+100-M25+N25)</f>
        <v>1856.077</v>
      </c>
      <c r="G25" s="18" t="s">
        <v>120</v>
      </c>
      <c r="H25" s="19">
        <v>1</v>
      </c>
      <c r="I25" s="18">
        <v>9.4</v>
      </c>
      <c r="J25" s="20">
        <v>5.3</v>
      </c>
      <c r="K25" s="18">
        <v>6.8000000000000007</v>
      </c>
      <c r="L25" s="20">
        <v>11.899999999999999</v>
      </c>
      <c r="M25" s="20">
        <v>16.900000000000002</v>
      </c>
      <c r="N25" s="20">
        <v>5</v>
      </c>
    </row>
    <row r="26" spans="1:14" s="21" customFormat="1" x14ac:dyDescent="0.4">
      <c r="A26" s="13" t="s">
        <v>62</v>
      </c>
      <c r="B26" s="13">
        <v>11112408</v>
      </c>
      <c r="C26" s="14" t="s">
        <v>63</v>
      </c>
      <c r="D26" s="15" t="s">
        <v>59</v>
      </c>
      <c r="E26" s="16">
        <f>ROUNDUP(9*(F26-781)/(1497-781)+70, 0)</f>
        <v>71</v>
      </c>
      <c r="F26" s="17">
        <f>G26*(100-I26+20*H26+100-J26+100-K26+100-L26+100-M26+N26)</f>
        <v>857.46300000000008</v>
      </c>
      <c r="G26" s="18" t="s">
        <v>120</v>
      </c>
      <c r="H26" s="19">
        <v>1</v>
      </c>
      <c r="I26" s="18">
        <v>42.5</v>
      </c>
      <c r="J26" s="20">
        <v>62.5</v>
      </c>
      <c r="K26" s="18">
        <v>89.3</v>
      </c>
      <c r="L26" s="20">
        <v>57.099999999999994</v>
      </c>
      <c r="M26" s="20">
        <v>64.3</v>
      </c>
      <c r="N26" s="20">
        <v>15</v>
      </c>
    </row>
    <row r="27" spans="1:14" x14ac:dyDescent="0.4">
      <c r="A27" s="1" t="s">
        <v>64</v>
      </c>
      <c r="B27" s="1">
        <v>11321717</v>
      </c>
      <c r="C27" s="2" t="s">
        <v>65</v>
      </c>
      <c r="D27" s="3" t="s">
        <v>66</v>
      </c>
      <c r="E27" s="12">
        <f>ROUNDUP(9*(F27-781)/(1497-781)+70, 0)</f>
        <v>73</v>
      </c>
      <c r="F27" s="7">
        <f>G27*(100-I27+20*H27+100-J27+100-K27+100-L27+100-M27+N27)</f>
        <v>1009.05</v>
      </c>
      <c r="G27" s="8" t="s">
        <v>121</v>
      </c>
      <c r="H27" s="9"/>
      <c r="I27" s="8">
        <v>1.2</v>
      </c>
      <c r="J27" s="10">
        <v>0.5</v>
      </c>
      <c r="K27" s="8">
        <v>3.3000000000000003</v>
      </c>
      <c r="L27" s="10">
        <v>23.3</v>
      </c>
      <c r="M27" s="10">
        <v>6.7</v>
      </c>
      <c r="N27" s="10"/>
    </row>
    <row r="28" spans="1:14" s="21" customFormat="1" x14ac:dyDescent="0.4">
      <c r="A28" s="13" t="s">
        <v>67</v>
      </c>
      <c r="B28" s="13">
        <v>11176422</v>
      </c>
      <c r="C28" s="14" t="s">
        <v>68</v>
      </c>
      <c r="D28" s="15" t="s">
        <v>69</v>
      </c>
      <c r="E28" s="16">
        <f>ROUNDUP(9*(F28-1829)/(2380-1829)+90, 0)</f>
        <v>92</v>
      </c>
      <c r="F28" s="17">
        <f>G28*(100-I28+20*H28+100-J28+100-K28+100-L28+100-M28+N28)</f>
        <v>1922.8</v>
      </c>
      <c r="G28" s="18" t="s">
        <v>109</v>
      </c>
      <c r="H28" s="19"/>
      <c r="I28" s="18">
        <v>3.7</v>
      </c>
      <c r="J28" s="20">
        <v>8.6999999999999993</v>
      </c>
      <c r="K28" s="18">
        <v>8.2000000000000011</v>
      </c>
      <c r="L28" s="20">
        <v>7.1</v>
      </c>
      <c r="M28" s="20">
        <v>6.3</v>
      </c>
      <c r="N28" s="20">
        <v>40</v>
      </c>
    </row>
    <row r="29" spans="1:14" x14ac:dyDescent="0.4">
      <c r="A29" s="4" t="s">
        <v>70</v>
      </c>
      <c r="B29" s="4">
        <v>11178503</v>
      </c>
      <c r="C29" s="5" t="s">
        <v>71</v>
      </c>
      <c r="D29" s="6" t="s">
        <v>69</v>
      </c>
      <c r="E29" s="12">
        <f>ROUNDUP(9*(F29-781)/(1497-781)+70, 0)</f>
        <v>79</v>
      </c>
      <c r="F29" s="7">
        <f>G29*(100-I29+20*H29+100-J29+100-K29+100-L29+100-M29+N29)</f>
        <v>1445.8999999999999</v>
      </c>
      <c r="G29" s="8" t="s">
        <v>109</v>
      </c>
      <c r="H29" s="11"/>
      <c r="I29" s="8">
        <v>27.4</v>
      </c>
      <c r="J29" s="10">
        <v>24.6</v>
      </c>
      <c r="K29" s="8">
        <v>32</v>
      </c>
      <c r="L29" s="10">
        <v>16.100000000000001</v>
      </c>
      <c r="M29" s="10">
        <v>19.400000000000002</v>
      </c>
      <c r="N29" s="10"/>
    </row>
    <row r="30" spans="1:14" x14ac:dyDescent="0.4">
      <c r="A30" s="4" t="s">
        <v>72</v>
      </c>
      <c r="B30" s="4">
        <v>11182513</v>
      </c>
      <c r="C30" s="5" t="s">
        <v>73</v>
      </c>
      <c r="D30" s="6" t="s">
        <v>69</v>
      </c>
      <c r="E30" s="12">
        <f>ROUNDUP(9*(F30-1829)/(2380-1829)+90, 0)</f>
        <v>91</v>
      </c>
      <c r="F30" s="7">
        <f>G30*(100-I30+20*H30+100-J30+100-K30+100-L30+100-M30+N30)</f>
        <v>1829.32</v>
      </c>
      <c r="G30" s="8" t="s">
        <v>109</v>
      </c>
      <c r="H30" s="11"/>
      <c r="I30" s="8">
        <v>1</v>
      </c>
      <c r="J30" s="10">
        <v>1</v>
      </c>
      <c r="K30" s="8">
        <v>3.5999999999999996</v>
      </c>
      <c r="L30" s="10">
        <v>11.5</v>
      </c>
      <c r="M30" s="10">
        <v>1.5</v>
      </c>
      <c r="N30" s="10"/>
    </row>
    <row r="31" spans="1:14" x14ac:dyDescent="0.4">
      <c r="A31" s="1" t="s">
        <v>74</v>
      </c>
      <c r="B31" s="1">
        <v>11185105</v>
      </c>
      <c r="C31" s="2" t="s">
        <v>75</v>
      </c>
      <c r="D31" s="3" t="s">
        <v>69</v>
      </c>
      <c r="E31" s="12">
        <f>ROUNDUP(9*(F31-781)/(1497-781)+70, 0)</f>
        <v>78</v>
      </c>
      <c r="F31" s="7">
        <f>G31*(100-I31+20*H31+100-J31+100-K31+100-L31+100-M31+N31)</f>
        <v>1395.36</v>
      </c>
      <c r="G31" s="8" t="s">
        <v>109</v>
      </c>
      <c r="H31" s="11"/>
      <c r="I31" s="8">
        <v>36.4</v>
      </c>
      <c r="J31" s="10">
        <v>19.400000000000002</v>
      </c>
      <c r="K31" s="8">
        <v>18</v>
      </c>
      <c r="L31" s="10">
        <v>17</v>
      </c>
      <c r="M31" s="10">
        <v>42</v>
      </c>
      <c r="N31" s="10"/>
    </row>
    <row r="32" spans="1:14" s="21" customFormat="1" x14ac:dyDescent="0.4">
      <c r="A32" s="13" t="s">
        <v>76</v>
      </c>
      <c r="B32" s="13">
        <v>11186831</v>
      </c>
      <c r="C32" s="14" t="s">
        <v>77</v>
      </c>
      <c r="D32" s="15" t="s">
        <v>69</v>
      </c>
      <c r="E32" s="16">
        <f>ROUNDUP(9*(F32-781)/(1497-781)+70, 0)</f>
        <v>73</v>
      </c>
      <c r="F32" s="17">
        <f>G32*(100-I32+20*H32+100-J32+100-K32+100-L32+100-M32+N32)</f>
        <v>996.3599999999999</v>
      </c>
      <c r="G32" s="18" t="s">
        <v>109</v>
      </c>
      <c r="H32" s="19">
        <v>1</v>
      </c>
      <c r="I32" s="18">
        <v>34.4</v>
      </c>
      <c r="J32" s="20">
        <v>46.7</v>
      </c>
      <c r="K32" s="18">
        <v>50</v>
      </c>
      <c r="L32" s="20">
        <v>80</v>
      </c>
      <c r="M32" s="20">
        <v>56.699999999999996</v>
      </c>
      <c r="N32" s="20">
        <v>10</v>
      </c>
    </row>
    <row r="33" spans="1:14" x14ac:dyDescent="0.4">
      <c r="A33" s="4" t="s">
        <v>78</v>
      </c>
      <c r="B33" s="4">
        <v>11212520</v>
      </c>
      <c r="C33" s="5" t="s">
        <v>79</v>
      </c>
      <c r="D33" s="6" t="s">
        <v>69</v>
      </c>
      <c r="E33" s="12">
        <f>ROUNDUP(9*(F33-781)/(1497-781)+70, 0)</f>
        <v>77</v>
      </c>
      <c r="F33" s="7">
        <f>G33*(100-I33+20*H33+100-J33+100-K33+100-L33+100-M33+N33)</f>
        <v>1311.3799999999999</v>
      </c>
      <c r="G33" s="8" t="s">
        <v>109</v>
      </c>
      <c r="H33" s="11"/>
      <c r="I33" s="8">
        <v>26.3</v>
      </c>
      <c r="J33" s="10">
        <v>19.5</v>
      </c>
      <c r="K33" s="8">
        <v>61.4</v>
      </c>
      <c r="L33" s="10">
        <v>38</v>
      </c>
      <c r="M33" s="10">
        <v>9.7000000000000011</v>
      </c>
      <c r="N33" s="10"/>
    </row>
    <row r="34" spans="1:14" s="21" customFormat="1" x14ac:dyDescent="0.4">
      <c r="A34" s="13" t="s">
        <v>80</v>
      </c>
      <c r="B34" s="13">
        <v>11035905</v>
      </c>
      <c r="C34" s="14" t="s">
        <v>81</v>
      </c>
      <c r="D34" s="15" t="s">
        <v>82</v>
      </c>
      <c r="E34" s="16">
        <f>ROUNDUP(9*(F34-1514)/(1804-1514)+80, 0)</f>
        <v>84</v>
      </c>
      <c r="F34" s="17">
        <f>G34*(100-I34+20*H34+100-J34+100-K34+100-L34+100-M34+N34)</f>
        <v>1611.855</v>
      </c>
      <c r="G34" s="18" t="s">
        <v>122</v>
      </c>
      <c r="H34" s="19">
        <v>1</v>
      </c>
      <c r="I34" s="18">
        <v>17.100000000000001</v>
      </c>
      <c r="J34" s="20">
        <v>6.4</v>
      </c>
      <c r="K34" s="18">
        <v>35.699999999999996</v>
      </c>
      <c r="L34" s="20">
        <v>3.5999999999999996</v>
      </c>
      <c r="M34" s="20">
        <v>10.7</v>
      </c>
      <c r="N34" s="20">
        <v>5</v>
      </c>
    </row>
    <row r="35" spans="1:14" x14ac:dyDescent="0.4">
      <c r="A35" s="4" t="s">
        <v>83</v>
      </c>
      <c r="B35" s="4">
        <v>11010226</v>
      </c>
      <c r="C35" s="5" t="s">
        <v>84</v>
      </c>
      <c r="D35" s="6" t="s">
        <v>85</v>
      </c>
      <c r="E35" s="12">
        <f>ROUNDUP(9*(F35-1829)/(2380-1829)+90, 0)</f>
        <v>97</v>
      </c>
      <c r="F35" s="7">
        <f>G35*(100-I35+20*H35+100-J35+100-K35+100-L35+100-M35+N35)</f>
        <v>2203.5</v>
      </c>
      <c r="G35" s="8" t="s">
        <v>123</v>
      </c>
      <c r="H35" s="11"/>
      <c r="I35" s="8">
        <v>9.3000000000000007</v>
      </c>
      <c r="J35" s="10">
        <v>10.7</v>
      </c>
      <c r="K35" s="8">
        <v>19.8</v>
      </c>
      <c r="L35" s="10">
        <v>16</v>
      </c>
      <c r="M35" s="10">
        <v>3.5000000000000004</v>
      </c>
      <c r="N35" s="10"/>
    </row>
    <row r="36" spans="1:14" x14ac:dyDescent="0.4">
      <c r="A36" s="4" t="s">
        <v>86</v>
      </c>
      <c r="B36" s="4">
        <v>11010506</v>
      </c>
      <c r="C36" s="5" t="s">
        <v>87</v>
      </c>
      <c r="D36" s="6" t="s">
        <v>85</v>
      </c>
      <c r="E36" s="12">
        <f>ROUNDUP(9*(F36-1514)/(1804-1514)+80, 0)</f>
        <v>81</v>
      </c>
      <c r="F36" s="7">
        <f>G36*(100-I36+20*H36+100-J36+100-K36+100-L36+100-M36+N36)</f>
        <v>1514.4999999999995</v>
      </c>
      <c r="G36" s="8" t="s">
        <v>123</v>
      </c>
      <c r="H36" s="11"/>
      <c r="I36" s="8">
        <v>31.9</v>
      </c>
      <c r="J36" s="10">
        <v>40.300000000000004</v>
      </c>
      <c r="K36" s="8">
        <v>18.5</v>
      </c>
      <c r="L36" s="10">
        <v>28.1</v>
      </c>
      <c r="M36" s="10">
        <v>78.3</v>
      </c>
      <c r="N36" s="10"/>
    </row>
    <row r="37" spans="1:14" x14ac:dyDescent="0.4">
      <c r="A37" s="1" t="s">
        <v>88</v>
      </c>
      <c r="B37" s="1">
        <v>11011013</v>
      </c>
      <c r="C37" s="2" t="s">
        <v>89</v>
      </c>
      <c r="D37" s="3" t="s">
        <v>85</v>
      </c>
      <c r="E37" s="12">
        <f>ROUNDUP(9*(F37-1829)/(2380-1829)+90, 0)</f>
        <v>95</v>
      </c>
      <c r="F37" s="7">
        <f>G37*(100-I37+20*H37+100-J37+100-K37+100-L37+100-M37+N37)</f>
        <v>2091</v>
      </c>
      <c r="G37" s="8" t="s">
        <v>123</v>
      </c>
      <c r="H37" s="11"/>
      <c r="I37" s="8">
        <v>8.5</v>
      </c>
      <c r="J37" s="10">
        <v>8.9</v>
      </c>
      <c r="K37" s="8">
        <v>33.4</v>
      </c>
      <c r="L37" s="10">
        <v>16</v>
      </c>
      <c r="M37" s="10">
        <v>15</v>
      </c>
      <c r="N37" s="10"/>
    </row>
    <row r="38" spans="1:14" x14ac:dyDescent="0.4">
      <c r="A38" s="4" t="s">
        <v>90</v>
      </c>
      <c r="B38" s="4">
        <v>11033210</v>
      </c>
      <c r="C38" s="5" t="s">
        <v>91</v>
      </c>
      <c r="D38" s="6" t="s">
        <v>85</v>
      </c>
      <c r="E38" s="12">
        <f>ROUNDUP(9*(F38-1829)/(2380-1829)+90, 0)</f>
        <v>91</v>
      </c>
      <c r="F38" s="7">
        <f>G38*(100-I38+20*H38+100-J38+100-K38+100-L38+100-M38+N38)</f>
        <v>1838.5000000000002</v>
      </c>
      <c r="G38" s="8" t="s">
        <v>123</v>
      </c>
      <c r="H38" s="11"/>
      <c r="I38" s="8">
        <v>17.2</v>
      </c>
      <c r="J38" s="10">
        <v>13.200000000000001</v>
      </c>
      <c r="K38" s="8">
        <v>22.8</v>
      </c>
      <c r="L38" s="10">
        <v>50.2</v>
      </c>
      <c r="M38" s="10">
        <v>28.9</v>
      </c>
      <c r="N38" s="10"/>
    </row>
    <row r="39" spans="1:14" s="21" customFormat="1" x14ac:dyDescent="0.4">
      <c r="A39" s="22" t="s">
        <v>92</v>
      </c>
      <c r="B39" s="22">
        <v>11033920</v>
      </c>
      <c r="C39" s="23" t="s">
        <v>93</v>
      </c>
      <c r="D39" s="24" t="s">
        <v>85</v>
      </c>
      <c r="E39" s="16">
        <f>ROUNDUP(9*(F39-1514)/(1804-1514)+80, 0)</f>
        <v>90</v>
      </c>
      <c r="F39" s="17">
        <f>G39*(100-I39+20*H39+100-J39+100-K39+100-L39+100-M39+N39)</f>
        <v>1829.5</v>
      </c>
      <c r="G39" s="18" t="s">
        <v>123</v>
      </c>
      <c r="H39" s="19">
        <v>1</v>
      </c>
      <c r="I39" s="18">
        <v>26.8</v>
      </c>
      <c r="J39" s="20">
        <v>28.999999999999996</v>
      </c>
      <c r="K39" s="18">
        <v>16.7</v>
      </c>
      <c r="L39" s="20">
        <v>23.3</v>
      </c>
      <c r="M39" s="20">
        <v>63.3</v>
      </c>
      <c r="N39" s="20">
        <v>5</v>
      </c>
    </row>
    <row r="40" spans="1:14" s="21" customFormat="1" x14ac:dyDescent="0.4">
      <c r="A40" s="22" t="s">
        <v>94</v>
      </c>
      <c r="B40" s="22">
        <v>11034922</v>
      </c>
      <c r="C40" s="23" t="s">
        <v>95</v>
      </c>
      <c r="D40" s="24" t="s">
        <v>85</v>
      </c>
      <c r="E40" s="16">
        <f>ROUNDUP(9*(F40-1829)/(2380-1829)+90, 0)</f>
        <v>94</v>
      </c>
      <c r="F40" s="17">
        <f>G40*(100-I40+20*H40+100-J40+100-K40+100-L40+100-M40+N40)</f>
        <v>2028.5</v>
      </c>
      <c r="G40" s="18" t="s">
        <v>123</v>
      </c>
      <c r="H40" s="19">
        <v>1</v>
      </c>
      <c r="I40" s="18">
        <v>13.4</v>
      </c>
      <c r="J40" s="20">
        <v>9.1999999999999993</v>
      </c>
      <c r="K40" s="18">
        <v>51.7</v>
      </c>
      <c r="L40" s="20">
        <v>26.700000000000003</v>
      </c>
      <c r="M40" s="20">
        <v>18.3</v>
      </c>
      <c r="N40" s="20">
        <v>5</v>
      </c>
    </row>
    <row r="41" spans="1:14" x14ac:dyDescent="0.4">
      <c r="A41" s="4" t="s">
        <v>96</v>
      </c>
      <c r="B41" s="4">
        <v>11035904</v>
      </c>
      <c r="C41" s="5" t="s">
        <v>97</v>
      </c>
      <c r="D41" s="6" t="s">
        <v>85</v>
      </c>
      <c r="E41" s="12">
        <f>ROUNDUP(9*(F41-781)/(1497-781)+70, 0)</f>
        <v>71</v>
      </c>
      <c r="F41" s="7">
        <f>G41*(100-I41+20*H41+100-J41+100-K41+100-L41+100-M41+N41)</f>
        <v>781.5</v>
      </c>
      <c r="G41" s="8" t="s">
        <v>123</v>
      </c>
      <c r="H41" s="11">
        <v>1</v>
      </c>
      <c r="I41" s="8">
        <v>80.099999999999994</v>
      </c>
      <c r="J41" s="10">
        <v>56.999999999999993</v>
      </c>
      <c r="K41" s="8">
        <v>83.3</v>
      </c>
      <c r="L41" s="10">
        <v>93.300000000000011</v>
      </c>
      <c r="M41" s="10">
        <v>70</v>
      </c>
      <c r="N41" s="10">
        <v>20</v>
      </c>
    </row>
    <row r="42" spans="1:14" x14ac:dyDescent="0.4">
      <c r="A42" s="4" t="s">
        <v>98</v>
      </c>
      <c r="B42" s="4">
        <v>11036110</v>
      </c>
      <c r="C42" s="5" t="s">
        <v>99</v>
      </c>
      <c r="D42" s="6" t="s">
        <v>85</v>
      </c>
      <c r="E42" s="12">
        <f>ROUNDUP(9*(F42-1514)/(1804-1514)+80, 0)</f>
        <v>82</v>
      </c>
      <c r="F42" s="7">
        <f>G42*(100-I42+20*H42+100-J42+100-K42+100-L42+100-M42+N42)</f>
        <v>1578</v>
      </c>
      <c r="G42" s="8" t="s">
        <v>123</v>
      </c>
      <c r="H42" s="11">
        <v>1</v>
      </c>
      <c r="I42" s="8">
        <v>45.7</v>
      </c>
      <c r="J42" s="10">
        <v>33.700000000000003</v>
      </c>
      <c r="K42" s="8">
        <v>60</v>
      </c>
      <c r="L42" s="10">
        <v>30</v>
      </c>
      <c r="M42" s="10">
        <v>35</v>
      </c>
      <c r="N42" s="10"/>
    </row>
    <row r="43" spans="1:14" x14ac:dyDescent="0.4">
      <c r="A43" s="4" t="s">
        <v>100</v>
      </c>
      <c r="B43" s="4">
        <v>11070432</v>
      </c>
      <c r="C43" s="5" t="s">
        <v>101</v>
      </c>
      <c r="D43" s="6" t="s">
        <v>85</v>
      </c>
      <c r="E43" s="12">
        <f>ROUNDUP(9*(F43-1829)/(2380-1829)+90, 0)</f>
        <v>99</v>
      </c>
      <c r="F43" s="7">
        <f>G43*(100-I43+20*H43+100-J43+100-K43+100-L43+100-M43+N43)</f>
        <v>2380</v>
      </c>
      <c r="G43" s="8" t="s">
        <v>123</v>
      </c>
      <c r="H43" s="11"/>
      <c r="I43" s="8">
        <v>1.5</v>
      </c>
      <c r="J43" s="10">
        <v>1.3</v>
      </c>
      <c r="K43" s="8">
        <v>6.5</v>
      </c>
      <c r="L43" s="10">
        <v>10</v>
      </c>
      <c r="M43" s="10">
        <v>4.7</v>
      </c>
      <c r="N43" s="10"/>
    </row>
    <row r="44" spans="1:14" x14ac:dyDescent="0.4">
      <c r="A44" s="4"/>
      <c r="B44" s="4"/>
      <c r="C44" s="5"/>
      <c r="D44" s="6"/>
      <c r="E44" s="12">
        <f>ROUNDUP(29*(F44-781)/(2380-781)+70, 0)</f>
        <v>56</v>
      </c>
      <c r="F44" s="7"/>
      <c r="G44" s="8"/>
      <c r="H44" s="11"/>
      <c r="I44" s="8"/>
      <c r="J44" s="10"/>
      <c r="K44" s="8"/>
      <c r="L44" s="10"/>
      <c r="M44" s="10"/>
      <c r="N44" s="10"/>
    </row>
    <row r="45" spans="1:14" x14ac:dyDescent="0.4">
      <c r="A45" s="4"/>
      <c r="B45" s="4"/>
      <c r="C45" s="5"/>
      <c r="D45" s="6"/>
      <c r="E45" s="12">
        <f>ROUNDUP(29*(F45-781)/(2380-781)+70, 0)</f>
        <v>56</v>
      </c>
      <c r="F45" s="7"/>
      <c r="G45" s="8"/>
      <c r="H45" s="11"/>
      <c r="I45" s="8"/>
      <c r="J45" s="10"/>
      <c r="K45" s="8"/>
      <c r="L45" s="10"/>
      <c r="M45" s="10"/>
      <c r="N45" s="10"/>
    </row>
  </sheetData>
  <sortState xmlns:xlrd2="http://schemas.microsoft.com/office/spreadsheetml/2017/richdata2" ref="A2:N45">
    <sortCondition ref="A2:A45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Farn Wang</cp:lastModifiedBy>
  <dcterms:created xsi:type="dcterms:W3CDTF">2026-05-18T15:41:58Z</dcterms:created>
  <dcterms:modified xsi:type="dcterms:W3CDTF">2026-05-19T02:09:05Z</dcterms:modified>
</cp:coreProperties>
</file>